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dom1605_student_ubc_ca/Documents/lectures etc/"/>
    </mc:Choice>
  </mc:AlternateContent>
  <xr:revisionPtr revIDLastSave="4" documentId="13_ncr:1_{A8C71B2D-CA63-43E0-BAB5-8DF1FBFFB579}" xr6:coauthVersionLast="47" xr6:coauthVersionMax="47" xr10:uidLastSave="{5CB70F96-914A-4E92-A8C3-43A74DCF095C}"/>
  <bookViews>
    <workbookView xWindow="7440" yWindow="5535" windowWidth="28800" windowHeight="15345" xr2:uid="{737AA5AF-92CE-4977-868D-A9FAC0968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D2" i="1"/>
  <c r="C24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<sst xmlns="http://schemas.openxmlformats.org/spreadsheetml/2006/main" count="8" uniqueCount="8">
  <si>
    <t>Thickness</t>
  </si>
  <si>
    <t>Solidworks length</t>
  </si>
  <si>
    <t>Radius (mm)</t>
  </si>
  <si>
    <t>height (mm)</t>
  </si>
  <si>
    <t>width of fibers (mm)</t>
  </si>
  <si>
    <t>Thickness (6")</t>
  </si>
  <si>
    <t>Thickness (4")</t>
  </si>
  <si>
    <t>Mandrel: 93mm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</si>
</sst>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B544-E8EA-4042-BD9D-76125559352E}">
  <dimension ref="A1:I24"/>
  <sheetViews>
    <sheetView tabSelected="1" workbookViewId="0">
      <selection activeCell="G29" sqref="G29"/>
    </sheetView>
  </sheetViews>
  <sheetFormatPr defaultRowHeight="15" x14ac:dyDescent="0.25"/>
  <cols>
    <col min="1" max="1" width="18.140625" customWidth="1"/>
    <col min="2" max="2" width="18.28515625" customWidth="1"/>
    <col min="3" max="3" width="11.28515625" customWidth="1"/>
    <col min="4" max="4" width="17.7109375" customWidth="1"/>
    <col min="7" max="7" width="18.5703125" customWidth="1"/>
    <col min="8" max="8" width="29.7109375" customWidth="1"/>
    <col min="9" max="9" width="23.7109375" customWidth="1"/>
  </cols>
  <sheetData>
    <row r="1" spans="1:9" x14ac:dyDescent="0.25">
      <c r="A1" t="s">
        <v>3</v>
      </c>
      <c r="B1" t="s">
        <v>2</v>
      </c>
      <c r="C1" t="s">
        <v>0</v>
      </c>
      <c r="D1" t="s">
        <v>1</v>
      </c>
      <c r="G1" t="s">
        <v>4</v>
      </c>
      <c r="H1" t="s">
        <v>5</v>
      </c>
      <c r="I1" t="s">
        <v>6</v>
      </c>
    </row>
    <row r="2" spans="1:9" x14ac:dyDescent="0.25">
      <c r="A2">
        <v>0</v>
      </c>
      <c r="B2" s="1">
        <v>53</v>
      </c>
      <c r="D2">
        <f>$B2 - $H2-$I2/2</f>
        <v>50.47</v>
      </c>
      <c r="G2" s="2">
        <f>$B2 * PI()</f>
        <v>166.50441064025904</v>
      </c>
      <c r="H2">
        <v>1.68</v>
      </c>
      <c r="I2">
        <v>1.7</v>
      </c>
    </row>
    <row r="3" spans="1:9" x14ac:dyDescent="0.25">
      <c r="A3">
        <v>20</v>
      </c>
      <c r="B3" s="1">
        <v>52.86</v>
      </c>
      <c r="D3">
        <f t="shared" ref="D3:D21" si="0">$B3 - $H3-$I3/2</f>
        <v>50.274999999999999</v>
      </c>
      <c r="G3" s="2">
        <f t="shared" ref="G3:G21" si="1">$B3 * PI()</f>
        <v>166.06458766875647</v>
      </c>
      <c r="H3">
        <v>1.72</v>
      </c>
      <c r="I3">
        <v>1.73</v>
      </c>
    </row>
    <row r="4" spans="1:9" x14ac:dyDescent="0.25">
      <c r="A4">
        <v>40</v>
      </c>
      <c r="B4" s="1">
        <v>52.42</v>
      </c>
      <c r="D4">
        <f t="shared" si="0"/>
        <v>49.79</v>
      </c>
      <c r="G4" s="2">
        <f t="shared" si="1"/>
        <v>164.68228690117695</v>
      </c>
      <c r="H4">
        <v>1.75</v>
      </c>
      <c r="I4">
        <v>1.76</v>
      </c>
    </row>
    <row r="5" spans="1:9" x14ac:dyDescent="0.25">
      <c r="A5">
        <v>60</v>
      </c>
      <c r="B5" s="1">
        <v>51.7</v>
      </c>
      <c r="D5">
        <f t="shared" si="0"/>
        <v>49.050000000000004</v>
      </c>
      <c r="G5" s="2">
        <f t="shared" si="1"/>
        <v>162.42034019059233</v>
      </c>
      <c r="H5">
        <v>1.76</v>
      </c>
      <c r="I5">
        <v>1.78</v>
      </c>
    </row>
    <row r="6" spans="1:9" x14ac:dyDescent="0.25">
      <c r="A6">
        <v>80</v>
      </c>
      <c r="B6" s="1">
        <v>50.69</v>
      </c>
      <c r="D6">
        <f t="shared" si="0"/>
        <v>48.01</v>
      </c>
      <c r="G6" s="2">
        <f t="shared" si="1"/>
        <v>159.2473316104666</v>
      </c>
      <c r="H6">
        <v>1.78</v>
      </c>
      <c r="I6" s="2">
        <v>1.8</v>
      </c>
    </row>
    <row r="7" spans="1:9" x14ac:dyDescent="0.25">
      <c r="A7">
        <v>100</v>
      </c>
      <c r="B7" s="1">
        <v>49.29</v>
      </c>
      <c r="D7">
        <f t="shared" si="0"/>
        <v>46.519999999999996</v>
      </c>
      <c r="G7" s="2">
        <f t="shared" si="1"/>
        <v>154.8491018954409</v>
      </c>
      <c r="H7">
        <v>1.84</v>
      </c>
      <c r="I7">
        <v>1.86</v>
      </c>
    </row>
    <row r="8" spans="1:9" x14ac:dyDescent="0.25">
      <c r="A8">
        <v>120</v>
      </c>
      <c r="B8" s="1">
        <v>47.81</v>
      </c>
      <c r="D8">
        <f t="shared" si="0"/>
        <v>45.015000000000001</v>
      </c>
      <c r="G8" s="2">
        <f t="shared" si="1"/>
        <v>150.19954476812802</v>
      </c>
      <c r="H8">
        <v>1.85</v>
      </c>
      <c r="I8">
        <v>1.89</v>
      </c>
    </row>
    <row r="9" spans="1:9" x14ac:dyDescent="0.25">
      <c r="A9">
        <v>140</v>
      </c>
      <c r="B9" s="1">
        <v>45.93</v>
      </c>
      <c r="D9">
        <f t="shared" si="0"/>
        <v>43.1</v>
      </c>
      <c r="G9" s="2">
        <f t="shared" si="1"/>
        <v>144.29335057937919</v>
      </c>
      <c r="H9">
        <v>1.87</v>
      </c>
      <c r="I9">
        <v>1.92</v>
      </c>
    </row>
    <row r="10" spans="1:9" x14ac:dyDescent="0.25">
      <c r="A10">
        <v>160</v>
      </c>
      <c r="B10" s="1">
        <v>43.75</v>
      </c>
      <c r="D10">
        <f t="shared" si="0"/>
        <v>40.82</v>
      </c>
      <c r="G10" s="2">
        <f t="shared" si="1"/>
        <v>137.44467859455344</v>
      </c>
      <c r="H10">
        <v>1.93</v>
      </c>
      <c r="I10">
        <v>2</v>
      </c>
    </row>
    <row r="11" spans="1:9" x14ac:dyDescent="0.25">
      <c r="A11">
        <v>180</v>
      </c>
      <c r="B11" s="1">
        <v>41.29</v>
      </c>
      <c r="D11">
        <f t="shared" si="0"/>
        <v>38.239999999999995</v>
      </c>
      <c r="G11" s="2">
        <f t="shared" si="1"/>
        <v>129.71636066672255</v>
      </c>
      <c r="H11">
        <v>1.99</v>
      </c>
      <c r="I11">
        <v>2.12</v>
      </c>
    </row>
    <row r="12" spans="1:9" x14ac:dyDescent="0.25">
      <c r="A12">
        <v>200</v>
      </c>
      <c r="B12" s="1">
        <v>38.520000000000003</v>
      </c>
      <c r="D12">
        <f t="shared" si="0"/>
        <v>35.385000000000005</v>
      </c>
      <c r="G12" s="2">
        <f t="shared" si="1"/>
        <v>121.01414901627884</v>
      </c>
      <c r="H12">
        <v>2.0099999999999998</v>
      </c>
      <c r="I12">
        <v>2.25</v>
      </c>
    </row>
    <row r="13" spans="1:9" x14ac:dyDescent="0.25">
      <c r="A13">
        <v>220</v>
      </c>
      <c r="B13" s="1">
        <v>35.46</v>
      </c>
      <c r="D13">
        <f t="shared" si="0"/>
        <v>32.215000000000003</v>
      </c>
      <c r="G13" s="2">
        <f t="shared" si="1"/>
        <v>111.40087549629406</v>
      </c>
      <c r="H13">
        <v>2.11</v>
      </c>
      <c r="I13">
        <v>2.27</v>
      </c>
    </row>
    <row r="14" spans="1:9" x14ac:dyDescent="0.25">
      <c r="A14">
        <v>240</v>
      </c>
      <c r="B14" s="1">
        <v>32.1</v>
      </c>
      <c r="D14">
        <f t="shared" si="0"/>
        <v>28.845000000000002</v>
      </c>
      <c r="G14" s="2">
        <f t="shared" si="1"/>
        <v>100.84512418023236</v>
      </c>
      <c r="H14">
        <v>2.11</v>
      </c>
      <c r="I14">
        <v>2.29</v>
      </c>
    </row>
    <row r="15" spans="1:9" x14ac:dyDescent="0.25">
      <c r="A15">
        <v>260</v>
      </c>
      <c r="B15" s="1">
        <v>28.44</v>
      </c>
      <c r="D15">
        <f t="shared" si="0"/>
        <v>25.130000000000003</v>
      </c>
      <c r="G15" s="2">
        <f t="shared" si="1"/>
        <v>89.346895068093716</v>
      </c>
      <c r="H15">
        <v>2.11</v>
      </c>
      <c r="I15">
        <v>2.4</v>
      </c>
    </row>
    <row r="16" spans="1:9" x14ac:dyDescent="0.25">
      <c r="A16">
        <v>280</v>
      </c>
      <c r="B16" s="1">
        <v>24.48</v>
      </c>
      <c r="D16">
        <f t="shared" si="0"/>
        <v>21.17</v>
      </c>
      <c r="G16" s="2">
        <f t="shared" si="1"/>
        <v>76.906188159878141</v>
      </c>
      <c r="H16">
        <v>2.11</v>
      </c>
      <c r="I16">
        <v>2.4</v>
      </c>
    </row>
    <row r="17" spans="1:9" x14ac:dyDescent="0.25">
      <c r="A17">
        <v>300</v>
      </c>
      <c r="B17" s="1">
        <v>20.21</v>
      </c>
      <c r="D17">
        <f t="shared" si="0"/>
        <v>16.900000000000002</v>
      </c>
      <c r="G17" s="2">
        <f t="shared" si="1"/>
        <v>63.491587529049724</v>
      </c>
      <c r="H17">
        <v>2.11</v>
      </c>
      <c r="I17">
        <v>2.4</v>
      </c>
    </row>
    <row r="18" spans="1:9" x14ac:dyDescent="0.25">
      <c r="A18">
        <v>320</v>
      </c>
      <c r="B18" s="1">
        <v>15.63</v>
      </c>
      <c r="D18">
        <f t="shared" si="0"/>
        <v>12.320000000000002</v>
      </c>
      <c r="G18" s="2">
        <f t="shared" si="1"/>
        <v>49.103093175608471</v>
      </c>
      <c r="H18">
        <v>2.11</v>
      </c>
      <c r="I18">
        <v>2.4</v>
      </c>
    </row>
    <row r="19" spans="1:9" x14ac:dyDescent="0.25">
      <c r="A19">
        <v>340</v>
      </c>
      <c r="B19" s="1">
        <v>10.74</v>
      </c>
      <c r="D19">
        <f t="shared" si="0"/>
        <v>7.4300000000000006</v>
      </c>
      <c r="G19" s="2">
        <f t="shared" si="1"/>
        <v>33.740705099554376</v>
      </c>
      <c r="H19">
        <v>2.11</v>
      </c>
      <c r="I19">
        <v>2.4</v>
      </c>
    </row>
    <row r="20" spans="1:9" x14ac:dyDescent="0.25">
      <c r="A20">
        <v>360</v>
      </c>
      <c r="B20" s="1">
        <v>5.53</v>
      </c>
      <c r="D20">
        <f t="shared" si="0"/>
        <v>2.2200000000000006</v>
      </c>
      <c r="G20" s="2">
        <f t="shared" si="1"/>
        <v>17.373007374351555</v>
      </c>
      <c r="H20">
        <v>2.11</v>
      </c>
      <c r="I20">
        <v>2.4</v>
      </c>
    </row>
    <row r="21" spans="1:9" x14ac:dyDescent="0.25">
      <c r="A21">
        <v>380</v>
      </c>
      <c r="B21" s="1">
        <v>0</v>
      </c>
      <c r="D21">
        <f t="shared" si="0"/>
        <v>-3.3099999999999996</v>
      </c>
      <c r="G21" s="2">
        <f t="shared" si="1"/>
        <v>0</v>
      </c>
      <c r="H21">
        <v>2.11</v>
      </c>
      <c r="I21">
        <v>2.4</v>
      </c>
    </row>
    <row r="24" spans="1:9" x14ac:dyDescent="0.25">
      <c r="A24" t="s">
        <v>7</v>
      </c>
      <c r="C24">
        <f>93/2</f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dom1605@student.ubc.ca</dc:creator>
  <cp:lastModifiedBy>dom1605@student.ubc.ca</cp:lastModifiedBy>
  <dcterms:created xsi:type="dcterms:W3CDTF">2026-03-03T01:50:09Z</dcterms:created>
  <dcterms:modified xsi:type="dcterms:W3CDTF">2026-09-08T01:07:40Z</dcterms:modified>
</cp:coreProperties>
</file>